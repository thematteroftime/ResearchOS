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<sst xmlns="http://schemas.openxmlformats.org/spreadsheetml/2006/main" count="35" uniqueCount="24">
  <si>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UAB</t>
  </si>
  <si>
    <t>UBC</t>
  </si>
  <si>
    <t>UCA</t>
  </si>
  <si>
    <t>Uax</t>
  </si>
  <si>
    <t>Uby</t>
  </si>
  <si>
    <t>Ucz</t>
  </si>
  <si>
    <t>IA</t>
  </si>
  <si>
    <t>IB</t>
  </si>
  <si>
    <t>IC</t>
  </si>
  <si>
    <t>I0</t>
  </si>
  <si>
    <t>PA</t>
  </si>
  <si>
    <t>PB</t>
  </si>
  <si>
    <t>PC</t>
  </si>
  <si>
    <t>P</t>
  </si>
  <si>
    <t>P=3*Uax*I</t>
  </si>
  <si>
    <t>ratio</t>
  </si>
  <si>
    <t>bias%</t>
  </si>
  <si>
    <t>Iax</t>
  </si>
  <si>
    <t>Iby</t>
  </si>
  <si>
    <t>Icz</t>
  </si>
  <si>
    <t>PAB</t>
  </si>
  <si>
    <t>PBC</t>
  </si>
  <si>
    <t>PCA</t>
  </si>
  <si>
    <t>P=3*U*I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</si>
</sst>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A15" sqref="A15"/>
    </sheetView>
  </sheetViews>
  <sheetFormatPr defaultColWidth="9" defaultRowHeight="14"/>
  <cols>
    <col min="1" max="6" width="12.6666666666667"/>
    <col min="7" max="8" width="10.5"/>
    <col min="10" max="13" width="12.6666666666667"/>
    <col min="14" max="17" width="10.5"/>
    <col min="18" max="24" width="12.6666666666667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395.6</v>
      </c>
      <c r="B2" s="1">
        <v>395.1</v>
      </c>
      <c r="C2" s="1">
        <v>392.6</v>
      </c>
      <c r="D2" s="1">
        <v>226.8</v>
      </c>
      <c r="E2" s="1">
        <v>228.4</v>
      </c>
      <c r="F2" s="1">
        <v>227.8</v>
      </c>
      <c r="G2" s="1">
        <v>0.1243</v>
      </c>
      <c r="H2" s="1">
        <v>0.1244</v>
      </c>
      <c r="I2" s="1">
        <v>0.1245</v>
      </c>
      <c r="J2" s="1">
        <v>0</v>
      </c>
    </row>
    <row r="3" spans="1:10">
      <c r="A3" s="1">
        <v>394.2</v>
      </c>
      <c r="B3" s="1">
        <v>394.3</v>
      </c>
      <c r="C3" s="1">
        <v>392.5</v>
      </c>
      <c r="D3" s="1">
        <v>226.7</v>
      </c>
      <c r="E3" s="1">
        <v>228.2</v>
      </c>
      <c r="F3" s="1">
        <v>225.6</v>
      </c>
      <c r="G3" s="1">
        <v>0.1243</v>
      </c>
      <c r="H3" s="1">
        <v>0.1245</v>
      </c>
      <c r="I3" s="1">
        <v>0.1248</v>
      </c>
      <c r="J3" s="2"/>
    </row>
    <row r="4" spans="1:10">
      <c r="A4" s="1">
        <v>394.3</v>
      </c>
      <c r="B4" s="1">
        <v>394.2</v>
      </c>
      <c r="C4" s="1">
        <v>391.8</v>
      </c>
      <c r="D4" s="1">
        <v>225.9</v>
      </c>
      <c r="E4" s="1">
        <v>228</v>
      </c>
      <c r="F4" s="1">
        <v>227.6</v>
      </c>
      <c r="G4" s="1">
        <v>0.2477</v>
      </c>
      <c r="H4" s="1">
        <v>0.1245</v>
      </c>
      <c r="I4" s="1">
        <v>0.1251</v>
      </c>
      <c r="J4" s="1">
        <v>0.1231</v>
      </c>
    </row>
    <row r="5" spans="1:10">
      <c r="A5" s="1">
        <v>392.3</v>
      </c>
      <c r="B5" s="1">
        <v>394</v>
      </c>
      <c r="C5" s="1">
        <v>392.1</v>
      </c>
      <c r="D5" s="1">
        <v>140.1</v>
      </c>
      <c r="E5" s="1">
        <v>278.9</v>
      </c>
      <c r="F5" s="1">
        <v>281.8</v>
      </c>
      <c r="G5" s="1">
        <v>0.1979</v>
      </c>
      <c r="H5" s="1">
        <v>0.139</v>
      </c>
      <c r="I5" s="1">
        <v>0.1393</v>
      </c>
      <c r="J5" s="2"/>
    </row>
    <row r="6" spans="1:10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/>
      <c r="G6" s="1"/>
      <c r="H6" s="1" t="s">
        <v>13</v>
      </c>
      <c r="I6" s="1"/>
      <c r="J6" s="1"/>
    </row>
    <row r="7" spans="1:10">
      <c r="A7" s="1">
        <f>SQRT(3)*A2*G2</f>
        <v>85.170272924649</v>
      </c>
      <c r="B7" s="1">
        <f>SQRT(3)*B2*H2</f>
        <v>85.1310592943656</v>
      </c>
      <c r="C7" s="1">
        <f>SQRT(3)*C2*I2</f>
        <v>84.6603918079169</v>
      </c>
      <c r="D7" s="1">
        <f>SUM(A7:C7)</f>
        <v>254.961724026932</v>
      </c>
      <c r="E7" s="1">
        <f>3*D2*G2</f>
        <v>84.57372</v>
      </c>
      <c r="F7" s="1">
        <f>3*E2*H2</f>
        <v>85.23888</v>
      </c>
      <c r="G7" s="1">
        <f>3*F2*I2</f>
        <v>85.0833</v>
      </c>
      <c r="H7" s="1">
        <f>SUM(E7:G7)</f>
        <v>254.8959</v>
      </c>
      <c r="I7" s="1"/>
      <c r="J7" s="1"/>
    </row>
    <row r="8" spans="1:10">
      <c r="A8" s="1">
        <f t="shared" ref="A8:A10" si="0">SQRT(3)*A3*G3</f>
        <v>84.8688614431159</v>
      </c>
      <c r="B8" s="1">
        <f t="shared" ref="B8:B10" si="1">SQRT(3)*B3*H3</f>
        <v>85.0269803613388</v>
      </c>
      <c r="C8" s="1">
        <f t="shared" ref="C8:C10" si="2">SQRT(3)*C3*I3</f>
        <v>84.8427767579539</v>
      </c>
      <c r="D8" s="1">
        <f t="shared" ref="D8:D10" si="3">SUM(A8:C8)</f>
        <v>254.738618562409</v>
      </c>
      <c r="E8" s="1">
        <f>3*D3*G3</f>
        <v>84.53643</v>
      </c>
      <c r="F8" s="1">
        <f>3*E3*H3</f>
        <v>85.2327</v>
      </c>
      <c r="G8" s="1">
        <f>3*F3*I3</f>
        <v>84.46464</v>
      </c>
      <c r="H8" s="1">
        <f>SUM(E8:G8)</f>
        <v>254.23377</v>
      </c>
      <c r="I8" s="1"/>
      <c r="J8" s="1"/>
    </row>
    <row r="9" spans="1:10">
      <c r="A9" s="1">
        <f t="shared" si="0"/>
        <v>169.166128799226</v>
      </c>
      <c r="B9" s="1">
        <f t="shared" si="1"/>
        <v>85.0054163287846</v>
      </c>
      <c r="C9" s="1">
        <f t="shared" si="2"/>
        <v>84.8950500513263</v>
      </c>
      <c r="D9" s="1">
        <f t="shared" si="3"/>
        <v>339.066595179337</v>
      </c>
      <c r="E9" s="1">
        <f>3*D4*G4</f>
        <v>167.86629</v>
      </c>
      <c r="F9" s="1">
        <f>3*E4*H4</f>
        <v>85.158</v>
      </c>
      <c r="G9" s="1">
        <f>3*F4*I4</f>
        <v>85.41828</v>
      </c>
      <c r="H9" s="1">
        <f>SUM(E9:G9)</f>
        <v>338.44257</v>
      </c>
      <c r="I9" s="1"/>
      <c r="J9" s="1"/>
    </row>
    <row r="10" spans="1:10">
      <c r="A10" s="1">
        <f t="shared" si="0"/>
        <v>134.469790945055</v>
      </c>
      <c r="B10" s="1">
        <f t="shared" si="1"/>
        <v>94.8574945273171</v>
      </c>
      <c r="C10" s="1">
        <f t="shared" si="2"/>
        <v>94.6038010455325</v>
      </c>
      <c r="D10" s="1">
        <f t="shared" si="3"/>
        <v>323.931086517904</v>
      </c>
      <c r="E10" s="1"/>
      <c r="F10" s="1"/>
      <c r="G10" s="1"/>
      <c r="H10" s="1"/>
      <c r="I10" s="1"/>
      <c r="J10" s="1"/>
    </row>
    <row r="11" spans="1:10">
      <c r="A11" s="1" t="s">
        <v>15</v>
      </c>
      <c r="B11" s="1"/>
      <c r="C11" s="1"/>
      <c r="D11" s="1" t="s">
        <v>16</v>
      </c>
      <c r="E11" s="1"/>
      <c r="F11" s="1"/>
      <c r="G11" s="1"/>
      <c r="H11" s="1"/>
      <c r="I11" s="1"/>
      <c r="J11" s="1"/>
    </row>
    <row r="12" spans="1:10">
      <c r="A12" s="1">
        <f>A2/D2</f>
        <v>1.74426807760141</v>
      </c>
      <c r="B12" s="1">
        <f>B2/E2</f>
        <v>1.72985989492119</v>
      </c>
      <c r="C12" s="1">
        <f>C2/F2</f>
        <v>1.72344161545215</v>
      </c>
      <c r="D12" s="1">
        <f>(ABS(SQRT(3)-A12)/SQRT(3))*100</f>
        <v>0.705364414204574</v>
      </c>
      <c r="E12" s="1">
        <f>(ABS(SQRT(3)-B12)/SQRT(3))*100</f>
        <v>0.12649240069126</v>
      </c>
      <c r="F12" s="1">
        <f>(ABS(SQRT(3)-C12)/SQRT(3))*100</f>
        <v>0.497051938609706</v>
      </c>
      <c r="G12" s="1"/>
      <c r="H12" s="1"/>
      <c r="I12" s="1"/>
      <c r="J12" s="1"/>
    </row>
    <row r="13" spans="1:10">
      <c r="A13" s="1">
        <f>A3/D3</f>
        <v>1.73886193206881</v>
      </c>
      <c r="B13" s="1">
        <f>B3/E3</f>
        <v>1.72787028921998</v>
      </c>
      <c r="C13" s="1">
        <f>C3/F3</f>
        <v>1.73980496453901</v>
      </c>
      <c r="D13" s="1">
        <f>(ABS(SQRT(3)-A13)/SQRT(3))*100</f>
        <v>0.393240456352226</v>
      </c>
      <c r="E13" s="1">
        <f>(ABS(SQRT(3)-B13)/SQRT(3))*100</f>
        <v>0.241362339408644</v>
      </c>
      <c r="F13" s="1">
        <f>(ABS(SQRT(3)-C13)/SQRT(3))*100</f>
        <v>0.447686461404319</v>
      </c>
      <c r="G13" s="1"/>
      <c r="H13" s="1"/>
      <c r="I13" s="1"/>
      <c r="J13" s="1"/>
    </row>
    <row r="14" spans="1:10">
      <c r="A14" s="1">
        <f>A4/D4</f>
        <v>1.74546259406817</v>
      </c>
      <c r="B14" s="1">
        <f>B4/E4</f>
        <v>1.72894736842105</v>
      </c>
      <c r="C14" s="1">
        <f>C4/F4</f>
        <v>1.72144112478032</v>
      </c>
      <c r="D14" s="1">
        <f>(ABS(SQRT(3)-A14)/SQRT(3))*100</f>
        <v>0.774329854568155</v>
      </c>
      <c r="E14" s="1">
        <f>(ABS(SQRT(3)-B14)/SQRT(3))*100</f>
        <v>0.179177142741017</v>
      </c>
      <c r="F14" s="1">
        <f>(ABS(SQRT(3)-C14)/SQRT(3))*100</f>
        <v>0.612550321399204</v>
      </c>
      <c r="G14" s="1"/>
      <c r="H14" s="1"/>
      <c r="I14" s="1"/>
      <c r="J14" s="1"/>
    </row>
    <row r="16" spans="1:9">
      <c r="A16" s="1" t="s">
        <v>3</v>
      </c>
      <c r="B16" s="1" t="s">
        <v>4</v>
      </c>
      <c r="C16" s="1" t="s">
        <v>5</v>
      </c>
      <c r="D16" s="1" t="s">
        <v>17</v>
      </c>
      <c r="E16" s="1" t="s">
        <v>18</v>
      </c>
      <c r="F16" s="1" t="s">
        <v>19</v>
      </c>
      <c r="G16" s="1" t="s">
        <v>6</v>
      </c>
      <c r="H16" s="1" t="s">
        <v>7</v>
      </c>
      <c r="I16" s="1" t="s">
        <v>8</v>
      </c>
    </row>
    <row r="17" spans="1:9">
      <c r="A17" s="1">
        <v>394</v>
      </c>
      <c r="B17" s="1">
        <v>394.1</v>
      </c>
      <c r="C17" s="1">
        <v>392.2</v>
      </c>
      <c r="D17" s="1">
        <v>0.1655</v>
      </c>
      <c r="E17" s="1">
        <v>0.1651</v>
      </c>
      <c r="F17" s="1">
        <v>0.1658</v>
      </c>
      <c r="G17" s="1">
        <v>0.2871</v>
      </c>
      <c r="H17" s="1">
        <v>0.2877</v>
      </c>
      <c r="I17" s="1">
        <v>0.2871</v>
      </c>
    </row>
    <row r="18" spans="1:9">
      <c r="A18" s="1">
        <v>394.3</v>
      </c>
      <c r="B18" s="1">
        <v>384.2</v>
      </c>
      <c r="C18" s="1">
        <v>392.7</v>
      </c>
      <c r="D18" s="1">
        <v>0.3307</v>
      </c>
      <c r="E18" s="1">
        <v>0.1655</v>
      </c>
      <c r="F18" s="1">
        <v>0.1658</v>
      </c>
      <c r="G18" s="1">
        <v>0.4379</v>
      </c>
      <c r="H18" s="1">
        <v>0.4288</v>
      </c>
      <c r="I18" s="1">
        <v>0.2874</v>
      </c>
    </row>
    <row r="19" spans="1:9">
      <c r="A19" s="1" t="s">
        <v>20</v>
      </c>
      <c r="B19" s="1" t="s">
        <v>21</v>
      </c>
      <c r="C19" s="1" t="s">
        <v>22</v>
      </c>
      <c r="D19" s="1" t="s">
        <v>13</v>
      </c>
      <c r="E19" s="1" t="s">
        <v>23</v>
      </c>
      <c r="F19" s="1"/>
      <c r="G19" s="1"/>
      <c r="H19" s="1" t="s">
        <v>13</v>
      </c>
      <c r="I19" s="1"/>
    </row>
    <row r="20" spans="1:9">
      <c r="A20" s="1">
        <f>SQRT(3)*A17*G17</f>
        <v>195.925084020092</v>
      </c>
      <c r="B20" s="1">
        <f>SQRT(3)*B17*H17</f>
        <v>196.384371932735</v>
      </c>
      <c r="C20" s="1">
        <f>SQRT(3)*C17*H17</f>
        <v>195.437580999793</v>
      </c>
      <c r="D20" s="1">
        <f>SUM(A20:C20)</f>
        <v>587.74703695262</v>
      </c>
      <c r="E20" s="1">
        <f>3*A17*D17</f>
        <v>195.621</v>
      </c>
      <c r="F20" s="1">
        <f>3*B17*E17</f>
        <v>195.19773</v>
      </c>
      <c r="G20" s="1">
        <f>3*C17*F17</f>
        <v>195.08028</v>
      </c>
      <c r="H20" s="1">
        <f>SUM(E20:G20)</f>
        <v>585.89901</v>
      </c>
      <c r="I20" s="1"/>
    </row>
    <row r="21" spans="1:9">
      <c r="A21" s="1">
        <f>SQRT(3)*A18*G18</f>
        <v>299.062768676548</v>
      </c>
      <c r="B21" s="1">
        <f>SQRT(3)*B18*H18</f>
        <v>285.346641010902</v>
      </c>
      <c r="C21" s="1">
        <f>SQRT(3)*C18*H18</f>
        <v>291.659619794329</v>
      </c>
      <c r="D21" s="1">
        <f>SUM(A21:C21)</f>
        <v>876.06902948178</v>
      </c>
      <c r="E21" s="1"/>
      <c r="F21" s="1"/>
      <c r="G21" s="1"/>
      <c r="H21" s="1"/>
      <c r="I21" s="1"/>
    </row>
    <row r="22" spans="1:9">
      <c r="A22" s="1" t="s">
        <v>15</v>
      </c>
      <c r="B22" s="1"/>
      <c r="C22" s="1"/>
      <c r="D22" s="1" t="s">
        <v>16</v>
      </c>
      <c r="E22" s="1"/>
      <c r="F22" s="1"/>
      <c r="G22" s="1"/>
      <c r="H22" s="1"/>
      <c r="I22" s="1"/>
    </row>
    <row r="23" spans="1:9">
      <c r="A23" s="1">
        <f>G17/D17</f>
        <v>1.73474320241692</v>
      </c>
      <c r="B23" s="1">
        <f>H17/E17</f>
        <v>1.74258025439128</v>
      </c>
      <c r="C23" s="1">
        <f>I17/F17</f>
        <v>1.73160434258142</v>
      </c>
      <c r="D23" s="1">
        <f>(ABS(SQRT(3)-A23)/SQRT(3))*100</f>
        <v>0.15544548902814</v>
      </c>
      <c r="E23" s="1">
        <f>(ABS(SQRT(3)-B23)/SQRT(3))*100</f>
        <v>0.607917895733099</v>
      </c>
      <c r="F23" s="1">
        <f>(ABS(SQRT(3)-C23)/SQRT(3))*100</f>
        <v>0.0257766680690078</v>
      </c>
      <c r="G23" s="1"/>
      <c r="H23" s="1"/>
      <c r="I2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杰栋 张</dc:creator>
  <cp:lastModifiedBy>WPS_1709384221</cp:lastModifiedBy>
  <dcterms:created xsi:type="dcterms:W3CDTF">2024-05-22T08:03:00Z</dcterms:created>
  <dcterms:modified xsi:type="dcterms:W3CDTF">2024-05-29T03:19:15Z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EB61B2FC10B84F4F8255B10658E2365A_12</vt:lpwstr>
  </property>
  <property fmtid="{D5CDD505-2E9C-101B-9397-08002B2CF9AE}" pid="3" name="KSOProductBuildVer">
    <vt:lpwstr>2052-12.1.0.16729</vt:lpwstr>
  </property>
</Properties>
</file>